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Fabian Eduardo\Downloads\"/>
    </mc:Choice>
  </mc:AlternateContent>
  <xr:revisionPtr revIDLastSave="0" documentId="8_{30C3CAE9-3248-47EE-847D-0361706D5778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Estudiantes" sheetId="2" r:id="rId1"/>
    <sheet name="Registro de grupos" sheetId="1" r:id="rId2"/>
    <sheet name="Resumen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4" i="1"/>
  <c r="E4" i="1"/>
  <c r="E5" i="1"/>
  <c r="C7" i="1"/>
  <c r="E7" i="1"/>
  <c r="C8" i="1"/>
  <c r="E8" i="1"/>
  <c r="C10" i="1"/>
  <c r="E10" i="1"/>
  <c r="C11" i="1"/>
  <c r="E11" i="1"/>
  <c r="E12" i="1"/>
  <c r="E13" i="1"/>
  <c r="B7" i="3"/>
  <c r="B6" i="3"/>
  <c r="J13" i="1"/>
  <c r="H13" i="1"/>
  <c r="J12" i="1"/>
  <c r="J11" i="1"/>
  <c r="H11" i="1"/>
  <c r="J10" i="1"/>
  <c r="H10" i="1"/>
  <c r="J9" i="1"/>
  <c r="H9" i="1"/>
  <c r="J8" i="1"/>
  <c r="H8" i="1"/>
  <c r="J7" i="1"/>
  <c r="H7" i="1"/>
  <c r="H6" i="1"/>
  <c r="J5" i="1"/>
  <c r="J4" i="1"/>
  <c r="B5" i="3" s="1"/>
  <c r="H4" i="1"/>
  <c r="B4" i="3" l="1"/>
</calcChain>
</file>

<file path=xl/sharedStrings.xml><?xml version="1.0" encoding="utf-8"?>
<sst xmlns="http://schemas.openxmlformats.org/spreadsheetml/2006/main" count="163" uniqueCount="98">
  <si>
    <t>Listado</t>
  </si>
  <si>
    <t>ID</t>
  </si>
  <si>
    <t>Nombre completo</t>
  </si>
  <si>
    <t>Compañero seleccionado</t>
  </si>
  <si>
    <t>Temática seleccionada</t>
  </si>
  <si>
    <t>E01</t>
  </si>
  <si>
    <t>Andrés Camilo Vivas Baquero</t>
  </si>
  <si>
    <t>Johan Sebastián Beltrán Gutiérrez</t>
  </si>
  <si>
    <t>CrowdStrike Incident Hub</t>
  </si>
  <si>
    <t>E02</t>
  </si>
  <si>
    <t>Cristian José González Rodríguez</t>
  </si>
  <si>
    <t>E03</t>
  </si>
  <si>
    <t>Cristian Santiago Moreno Ruiz</t>
  </si>
  <si>
    <t>David Alejandro Contreras Delgado</t>
  </si>
  <si>
    <t>Ejecución remota segura</t>
  </si>
  <si>
    <t>E04</t>
  </si>
  <si>
    <t>Daniel Julián Peña Bonilla</t>
  </si>
  <si>
    <t>Sergio Daniel Buitrago Suancha y Kevin Andrey Ángel Acevedo</t>
  </si>
  <si>
    <t>E05</t>
  </si>
  <si>
    <t>E06</t>
  </si>
  <si>
    <t>Diego Fabián Andrade Durán</t>
  </si>
  <si>
    <t>Felipe Amador González</t>
  </si>
  <si>
    <t>E07</t>
  </si>
  <si>
    <t>Diego Fernando Chavarro Castillo</t>
  </si>
  <si>
    <t>Juan Pablo Caballero Castellanos</t>
  </si>
  <si>
    <t>E09</t>
  </si>
  <si>
    <t>Jeyder Nicolay León Lancheros</t>
  </si>
  <si>
    <t>E10</t>
  </si>
  <si>
    <t>E11</t>
  </si>
  <si>
    <t>José Luis Lancheros Ayora</t>
  </si>
  <si>
    <t>Juan David Gómez Cuellar</t>
  </si>
  <si>
    <t>E12</t>
  </si>
  <si>
    <t>E13</t>
  </si>
  <si>
    <t>E14</t>
  </si>
  <si>
    <t>Juan Pablo Vega Villamil</t>
  </si>
  <si>
    <t>Tomás Olaya Díaz</t>
  </si>
  <si>
    <t>E15</t>
  </si>
  <si>
    <t>Kevin Andrey Ángel Acevedo</t>
  </si>
  <si>
    <t>Sergio Daniel Buitrago Suancha y Daniel Peña Bonilla</t>
  </si>
  <si>
    <t>E16</t>
  </si>
  <si>
    <t>Mabel Fernanda Bernal Amaya</t>
  </si>
  <si>
    <t>Tomás Quiceno Ostos</t>
  </si>
  <si>
    <t>E17</t>
  </si>
  <si>
    <t>Nicolás David Prieto Ramos</t>
  </si>
  <si>
    <t>Hernan David Sanchez Alarcón</t>
  </si>
  <si>
    <t>E18</t>
  </si>
  <si>
    <t>Sergio Daniel Buitrago Suancha</t>
  </si>
  <si>
    <t>Kevin Andrey Ángel Acevedo y Daniel Peña Bonilla</t>
  </si>
  <si>
    <t>E19</t>
  </si>
  <si>
    <t>E20</t>
  </si>
  <si>
    <t>E21</t>
  </si>
  <si>
    <t xml:space="preserve">Hernán David Sánchez </t>
  </si>
  <si>
    <t>Selección Temática</t>
  </si>
  <si>
    <t>Grupo</t>
  </si>
  <si>
    <t>ID 1</t>
  </si>
  <si>
    <t>Integrante 1</t>
  </si>
  <si>
    <t>ID 2</t>
  </si>
  <si>
    <t>Integrante 2</t>
  </si>
  <si>
    <t>Temática</t>
  </si>
  <si>
    <t>Rol integrante 1</t>
  </si>
  <si>
    <t>Rol integrante 2</t>
  </si>
  <si>
    <t>Repositorio</t>
  </si>
  <si>
    <t>Estado</t>
  </si>
  <si>
    <t>G01</t>
  </si>
  <si>
    <t>Red Team</t>
  </si>
  <si>
    <t>https://github.com/cristianmorenor/Laboratorio-3FDSI-2026-2.git</t>
  </si>
  <si>
    <t>G02</t>
  </si>
  <si>
    <t>Juan Pablo Vega Villmail</t>
  </si>
  <si>
    <t>Blue Team</t>
  </si>
  <si>
    <t>https://github.com/iAxstral/secured-remote-exe</t>
  </si>
  <si>
    <t>G03</t>
  </si>
  <si>
    <t>Jeyder Nicolay Leon Lancheros</t>
  </si>
  <si>
    <t>https://github.com/Jeyder30/Lab03_FDSI_2L_Leon.git</t>
  </si>
  <si>
    <t>Completo</t>
  </si>
  <si>
    <t>G04</t>
  </si>
  <si>
    <t>https://github.com/Lanch3ros/fdsi-lab-3-lancheros-gomez.git</t>
  </si>
  <si>
    <t>G05</t>
  </si>
  <si>
    <t>G06</t>
  </si>
  <si>
    <t>kevin Andrey Angel Acevedo</t>
  </si>
  <si>
    <t>Sergio Daniel Buitrago suancha</t>
  </si>
  <si>
    <t>https://github.com/nivek2329/Lab3-FDSI-lab.git</t>
  </si>
  <si>
    <t>G07</t>
  </si>
  <si>
    <t>https://github.com/Cam1lo27/Laboratorio-3-FDSI-2026-2.git</t>
  </si>
  <si>
    <t>G08</t>
  </si>
  <si>
    <t>Helacio/LAB3-FDSI-APP-WEB: App web para cumplir los fundmanetos de seguirdad progresivos</t>
  </si>
  <si>
    <t>G09</t>
  </si>
  <si>
    <t>G10</t>
  </si>
  <si>
    <t>Resumen de selección y control de cupos</t>
  </si>
  <si>
    <t>Indicador</t>
  </si>
  <si>
    <t>Resultado</t>
  </si>
  <si>
    <t>Reglas de conformación</t>
  </si>
  <si>
    <t>Parejas completas</t>
  </si>
  <si>
    <t>1. Máximo dos integrantes por grupo.</t>
  </si>
  <si>
    <t>Parejas pendientes</t>
  </si>
  <si>
    <t>2. Cada ID solo puede aparecer una vez.</t>
  </si>
  <si>
    <t>3. La pareja mantiene la temática durante los Labs 3–6.</t>
  </si>
  <si>
    <t>4. Los roles Red/Blue deben rotarse en cada laboratorio.</t>
  </si>
  <si>
    <t>5. El repositorio debe permitir revisar contribuciones individuales.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</si>
</sst>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6"/>
      <color rgb="FF173B65"/>
      <name val="Carlito"/>
    </font>
    <font>
      <sz val="11"/>
      <color rgb="FF344054"/>
      <name val="Carlito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B65"/>
      </patternFill>
    </fill>
    <fill>
      <patternFill patternType="solid">
        <fgColor rgb="FF2878D4"/>
      </patternFill>
    </fill>
    <fill>
      <patternFill patternType="solid">
        <fgColor rgb="FFFFF0C9"/>
      </patternFill>
    </fill>
    <fill>
      <patternFill patternType="solid">
        <fgColor rgb="FFF3F7FB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5" fillId="4" borderId="1" xfId="1" applyFill="1" applyBorder="1" applyAlignment="1">
      <alignment wrapText="1"/>
    </xf>
    <xf numFmtId="0" fontId="5" fillId="0" borderId="0" xfId="1"/>
    <xf numFmtId="0" fontId="0" fillId="0" borderId="0" xfId="0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5">
    <dxf>
      <font>
        <b/>
        <color rgb="FFA62626"/>
      </font>
      <fill>
        <patternFill patternType="solid">
          <bgColor rgb="FFFCE3E3"/>
        </patternFill>
      </fill>
    </dxf>
    <dxf>
      <font>
        <color rgb="FF7A5700"/>
      </font>
      <fill>
        <patternFill patternType="solid">
          <bgColor rgb="FFFFF0C9"/>
        </patternFill>
      </fill>
    </dxf>
    <dxf>
      <font>
        <b/>
        <color rgb="FF176B3A"/>
      </font>
      <fill>
        <patternFill patternType="solid">
          <bgColor rgb="FFDDF4E7"/>
        </patternFill>
      </fill>
    </dxf>
    <dxf>
      <font>
        <b/>
        <color rgb="FFA62626"/>
      </font>
      <fill>
        <patternFill patternType="solid">
          <bgColor rgb="FFFCE3E3"/>
        </patternFill>
      </fill>
    </dxf>
    <dxf>
      <font>
        <b/>
        <color rgb="FFA62626"/>
      </font>
      <fill>
        <patternFill patternType="solid">
          <bgColor rgb="FFFCE3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tudentsTable" displayName="StudentsTable" ref="A3:D23" totalsRowShown="0">
  <tableColumns count="4">
    <tableColumn id="1" xr3:uid="{00000000-0010-0000-0100-000001000000}" name="ID"/>
    <tableColumn id="2" xr3:uid="{00000000-0010-0000-0100-000002000000}" name="Nombre completo"/>
    <tableColumn id="3" xr3:uid="{00000000-0010-0000-0100-000003000000}" name="Compañero seleccionado"/>
    <tableColumn id="4" xr3:uid="{00000000-0010-0000-0100-000004000000}" name="Temática selecciona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GroupsTable" displayName="GroupsTable" ref="A3:J13" totalsRowShown="0">
  <tableColumns count="10">
    <tableColumn id="1" xr3:uid="{00000000-0010-0000-0000-000001000000}" name="Grupo"/>
    <tableColumn id="2" xr3:uid="{00000000-0010-0000-0000-000002000000}" name="ID 1"/>
    <tableColumn id="3" xr3:uid="{00000000-0010-0000-0000-000003000000}" name="Integrante 1"/>
    <tableColumn id="4" xr3:uid="{00000000-0010-0000-0000-000004000000}" name="ID 2"/>
    <tableColumn id="5" xr3:uid="{00000000-0010-0000-0000-000005000000}" name="Integrante 2"/>
    <tableColumn id="6" xr3:uid="{00000000-0010-0000-0000-000006000000}" name="Temática"/>
    <tableColumn id="7" xr3:uid="{00000000-0010-0000-0000-000007000000}" name="Rol integrante 1"/>
    <tableColumn id="8" xr3:uid="{00000000-0010-0000-0000-000008000000}" name="Rol integrante 2"/>
    <tableColumn id="9" xr3:uid="{00000000-0010-0000-0000-000009000000}" name="Repositorio"/>
    <tableColumn id="10" xr3:uid="{00000000-0010-0000-0000-00000A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github.com/nivek2329/Lab3-FDSI-lab.git" TargetMode="External"/><Relationship Id="rId7" Type="http://schemas.openxmlformats.org/officeDocument/2006/relationships/hyperlink" Target="https://github.com/Lanch3ros/fdsi-lab-3-lancheros-gomez.git" TargetMode="External"/><Relationship Id="rId2" Type="http://schemas.openxmlformats.org/officeDocument/2006/relationships/hyperlink" Target="https://github.com/Cam1lo27/Laboratorio-3-FDSI-2026-2.git" TargetMode="External"/><Relationship Id="rId1" Type="http://schemas.openxmlformats.org/officeDocument/2006/relationships/hyperlink" Target="https://github.com/cristianmorenor/Laboratorio-3FDSI-2026-2.git" TargetMode="External"/><Relationship Id="rId6" Type="http://schemas.openxmlformats.org/officeDocument/2006/relationships/hyperlink" Target="https://github.com/iAxstral/secured-remote-exe" TargetMode="External"/><Relationship Id="rId5" Type="http://schemas.openxmlformats.org/officeDocument/2006/relationships/hyperlink" Target="https://github.com/Jeyder30/Lab03_FDSI_2L_Leon.git" TargetMode="External"/><Relationship Id="rId4" Type="http://schemas.openxmlformats.org/officeDocument/2006/relationships/hyperlink" Target="https://github.com/Helacio/LAB3-FDSI-APP-W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workbookViewId="0">
      <selection activeCell="G10" sqref="G10"/>
    </sheetView>
  </sheetViews>
  <sheetFormatPr defaultColWidth="9" defaultRowHeight="14.25"/>
  <cols>
    <col min="1" max="1" width="11" customWidth="1"/>
    <col min="2" max="2" width="40" customWidth="1"/>
    <col min="3" max="3" width="48.5" customWidth="1"/>
    <col min="4" max="4" width="31" customWidth="1"/>
  </cols>
  <sheetData>
    <row r="1" spans="1:4" ht="33.950000000000003" customHeight="1">
      <c r="A1" s="12" t="s">
        <v>0</v>
      </c>
      <c r="B1" s="12"/>
      <c r="C1" s="12"/>
      <c r="D1" s="12"/>
    </row>
    <row r="3" spans="1:4" ht="24.95" customHeight="1">
      <c r="A3" s="3" t="s">
        <v>1</v>
      </c>
      <c r="B3" s="3" t="s">
        <v>2</v>
      </c>
      <c r="C3" s="3" t="s">
        <v>3</v>
      </c>
      <c r="D3" s="3" t="s">
        <v>4</v>
      </c>
    </row>
    <row r="4" spans="1:4" ht="24.95" customHeight="1">
      <c r="A4" s="4" t="s">
        <v>5</v>
      </c>
      <c r="B4" s="1" t="s">
        <v>6</v>
      </c>
      <c r="C4" s="5" t="s">
        <v>7</v>
      </c>
      <c r="D4" s="5" t="s">
        <v>8</v>
      </c>
    </row>
    <row r="5" spans="1:4" ht="24.95" customHeight="1">
      <c r="A5" s="4" t="s">
        <v>9</v>
      </c>
      <c r="B5" s="1" t="s">
        <v>10</v>
      </c>
      <c r="C5" s="5"/>
      <c r="D5" s="5"/>
    </row>
    <row r="6" spans="1:4" ht="24.95" customHeight="1">
      <c r="A6" s="4" t="s">
        <v>11</v>
      </c>
      <c r="B6" s="1" t="s">
        <v>12</v>
      </c>
      <c r="C6" s="5" t="s">
        <v>13</v>
      </c>
      <c r="D6" s="5" t="s">
        <v>14</v>
      </c>
    </row>
    <row r="7" spans="1:4" ht="24.95" customHeight="1">
      <c r="A7" s="4" t="s">
        <v>15</v>
      </c>
      <c r="B7" s="1" t="s">
        <v>16</v>
      </c>
      <c r="C7" s="5" t="s">
        <v>17</v>
      </c>
      <c r="D7" s="5" t="s">
        <v>14</v>
      </c>
    </row>
    <row r="8" spans="1:4" ht="24.95" customHeight="1">
      <c r="A8" s="4" t="s">
        <v>18</v>
      </c>
      <c r="B8" s="1" t="s">
        <v>13</v>
      </c>
      <c r="C8" s="5"/>
      <c r="D8" s="5"/>
    </row>
    <row r="9" spans="1:4" ht="24.95" customHeight="1">
      <c r="A9" s="4" t="s">
        <v>19</v>
      </c>
      <c r="B9" s="1" t="s">
        <v>20</v>
      </c>
      <c r="C9" s="5" t="s">
        <v>21</v>
      </c>
      <c r="D9" s="5" t="s">
        <v>8</v>
      </c>
    </row>
    <row r="10" spans="1:4" ht="24.95" customHeight="1">
      <c r="A10" s="4" t="s">
        <v>22</v>
      </c>
      <c r="B10" s="1" t="s">
        <v>23</v>
      </c>
      <c r="C10" s="5" t="s">
        <v>24</v>
      </c>
      <c r="D10" s="5" t="s">
        <v>8</v>
      </c>
    </row>
    <row r="11" spans="1:4" ht="24.95" customHeight="1">
      <c r="A11" s="4" t="s">
        <v>25</v>
      </c>
      <c r="B11" s="1" t="s">
        <v>26</v>
      </c>
      <c r="C11" s="5"/>
      <c r="D11" s="5" t="s">
        <v>8</v>
      </c>
    </row>
    <row r="12" spans="1:4" ht="24.95" customHeight="1">
      <c r="A12" s="4" t="s">
        <v>27</v>
      </c>
      <c r="B12" s="1" t="s">
        <v>7</v>
      </c>
      <c r="C12" s="5" t="s">
        <v>6</v>
      </c>
      <c r="D12" s="5" t="s">
        <v>8</v>
      </c>
    </row>
    <row r="13" spans="1:4" ht="24.95" customHeight="1">
      <c r="A13" s="4" t="s">
        <v>28</v>
      </c>
      <c r="B13" s="1" t="s">
        <v>29</v>
      </c>
      <c r="C13" s="5" t="s">
        <v>30</v>
      </c>
      <c r="D13" s="5" t="s">
        <v>8</v>
      </c>
    </row>
    <row r="14" spans="1:4" ht="24.95" customHeight="1">
      <c r="A14" s="4" t="s">
        <v>31</v>
      </c>
      <c r="B14" s="1" t="s">
        <v>30</v>
      </c>
      <c r="C14" s="5" t="s">
        <v>29</v>
      </c>
      <c r="D14" s="5" t="s">
        <v>8</v>
      </c>
    </row>
    <row r="15" spans="1:4" ht="24.95" customHeight="1">
      <c r="A15" s="4" t="s">
        <v>32</v>
      </c>
      <c r="B15" s="1" t="s">
        <v>24</v>
      </c>
      <c r="C15" s="5" t="s">
        <v>23</v>
      </c>
      <c r="D15" s="5" t="s">
        <v>8</v>
      </c>
    </row>
    <row r="16" spans="1:4" ht="24.95" customHeight="1">
      <c r="A16" s="4" t="s">
        <v>33</v>
      </c>
      <c r="B16" s="1" t="s">
        <v>34</v>
      </c>
      <c r="C16" s="5" t="s">
        <v>35</v>
      </c>
      <c r="D16" s="5" t="s">
        <v>14</v>
      </c>
    </row>
    <row r="17" spans="1:4" ht="24.95" customHeight="1">
      <c r="A17" s="4" t="s">
        <v>36</v>
      </c>
      <c r="B17" s="1" t="s">
        <v>37</v>
      </c>
      <c r="C17" s="5" t="s">
        <v>38</v>
      </c>
      <c r="D17" s="5" t="s">
        <v>14</v>
      </c>
    </row>
    <row r="18" spans="1:4" ht="24.95" customHeight="1">
      <c r="A18" s="4" t="s">
        <v>39</v>
      </c>
      <c r="B18" s="1" t="s">
        <v>40</v>
      </c>
      <c r="C18" s="5" t="s">
        <v>41</v>
      </c>
      <c r="D18" s="5" t="s">
        <v>14</v>
      </c>
    </row>
    <row r="19" spans="1:4" ht="24.95" customHeight="1">
      <c r="A19" s="4" t="s">
        <v>42</v>
      </c>
      <c r="B19" s="1" t="s">
        <v>43</v>
      </c>
      <c r="C19" s="5" t="s">
        <v>44</v>
      </c>
      <c r="D19" s="5" t="s">
        <v>14</v>
      </c>
    </row>
    <row r="20" spans="1:4" ht="24.95" customHeight="1">
      <c r="A20" s="4" t="s">
        <v>45</v>
      </c>
      <c r="B20" s="1" t="s">
        <v>46</v>
      </c>
      <c r="C20" s="5" t="s">
        <v>47</v>
      </c>
      <c r="D20" s="5" t="s">
        <v>14</v>
      </c>
    </row>
    <row r="21" spans="1:4" ht="24.95" customHeight="1">
      <c r="A21" s="4" t="s">
        <v>48</v>
      </c>
      <c r="B21" s="1" t="s">
        <v>35</v>
      </c>
      <c r="C21" s="5" t="s">
        <v>34</v>
      </c>
      <c r="D21" s="5" t="s">
        <v>14</v>
      </c>
    </row>
    <row r="22" spans="1:4" ht="24.95" customHeight="1">
      <c r="A22" s="4" t="s">
        <v>49</v>
      </c>
      <c r="B22" s="1" t="s">
        <v>41</v>
      </c>
      <c r="C22" s="5" t="s">
        <v>43</v>
      </c>
      <c r="D22" s="5" t="s">
        <v>14</v>
      </c>
    </row>
    <row r="23" spans="1:4" ht="22.5" customHeight="1">
      <c r="A23" s="17" t="s">
        <v>50</v>
      </c>
      <c r="B23" t="s">
        <v>51</v>
      </c>
      <c r="C23" t="s">
        <v>43</v>
      </c>
      <c r="D23" t="s">
        <v>14</v>
      </c>
    </row>
  </sheetData>
  <mergeCells count="1">
    <mergeCell ref="A1:D1"/>
  </mergeCells>
  <dataValidations count="2">
    <dataValidation type="list" sqref="C4:C23" xr:uid="{00000000-0002-0000-0100-000000000000}">
      <formula1>$B$4:$B$23</formula1>
    </dataValidation>
    <dataValidation type="list" sqref="D4:D23" xr:uid="{00000000-0002-0000-0100-000001000000}">
      <formula1>"CrowdStrike Incident Hub,Ejecución remota segura"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workbookViewId="0">
      <selection activeCell="F9" sqref="F9"/>
    </sheetView>
  </sheetViews>
  <sheetFormatPr defaultColWidth="9" defaultRowHeight="14.25"/>
  <cols>
    <col min="1" max="2" width="10" customWidth="1"/>
    <col min="3" max="3" width="33" customWidth="1"/>
    <col min="4" max="4" width="10" customWidth="1"/>
    <col min="5" max="5" width="33" customWidth="1"/>
    <col min="6" max="6" width="29" customWidth="1"/>
    <col min="7" max="8" width="20" customWidth="1"/>
    <col min="9" max="9" width="34" customWidth="1"/>
    <col min="10" max="10" width="22" customWidth="1"/>
  </cols>
  <sheetData>
    <row r="1" spans="1:10" ht="33.950000000000003" customHeight="1">
      <c r="A1" s="12" t="s">
        <v>52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ht="32.1" customHeight="1">
      <c r="A3" s="6" t="s">
        <v>53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58</v>
      </c>
      <c r="G3" s="6" t="s">
        <v>59</v>
      </c>
      <c r="H3" s="6" t="s">
        <v>60</v>
      </c>
      <c r="I3" s="6" t="s">
        <v>61</v>
      </c>
      <c r="J3" s="6" t="s">
        <v>62</v>
      </c>
    </row>
    <row r="4" spans="1:10" ht="32.1" customHeight="1">
      <c r="A4" s="7" t="s">
        <v>63</v>
      </c>
      <c r="B4" s="8" t="s">
        <v>11</v>
      </c>
      <c r="C4" s="9" t="str">
        <f>IFERROR(VLOOKUP(B4,Estudiantes!$A$4:$B$23,2,FALSE),"")</f>
        <v>Cristian Santiago Moreno Ruiz</v>
      </c>
      <c r="D4" s="8" t="s">
        <v>18</v>
      </c>
      <c r="E4" s="9" t="str">
        <f>IFERROR(VLOOKUP(D4,Estudiantes!$A$4:$B$23,2,FALSE),"")</f>
        <v>David Alejandro Contreras Delgado</v>
      </c>
      <c r="F4" s="10" t="s">
        <v>14</v>
      </c>
      <c r="G4" s="10" t="s">
        <v>64</v>
      </c>
      <c r="H4" s="9" t="str">
        <f t="shared" ref="H4:H13" si="0">IF(G4="Red Team","Blue Team",IF(G4="Blue Team","Red Team",""))</f>
        <v>Blue Team</v>
      </c>
      <c r="I4" s="15" t="s">
        <v>65</v>
      </c>
      <c r="J4" s="7" t="str">
        <f t="shared" ref="J4:J13" si="1">IF(OR(B4="",D4="",F4="",G4="",I4=""),"Pendiente",IF(B4=D4,"Error: mismo estudiante","Completo"))</f>
        <v>Completo</v>
      </c>
    </row>
    <row r="5" spans="1:10" ht="32.1" customHeight="1">
      <c r="A5" s="7" t="s">
        <v>66</v>
      </c>
      <c r="B5" s="8" t="s">
        <v>33</v>
      </c>
      <c r="C5" s="9" t="s">
        <v>67</v>
      </c>
      <c r="D5" s="8" t="s">
        <v>48</v>
      </c>
      <c r="E5" s="9" t="str">
        <f>IFERROR(VLOOKUP(D5,Estudiantes!$A$4:$B$23,2,FALSE),"")</f>
        <v>Tomás Olaya Díaz</v>
      </c>
      <c r="F5" s="10" t="s">
        <v>14</v>
      </c>
      <c r="G5" s="10" t="s">
        <v>68</v>
      </c>
      <c r="H5" s="9" t="s">
        <v>64</v>
      </c>
      <c r="I5" s="15" t="s">
        <v>69</v>
      </c>
      <c r="J5" s="7" t="str">
        <f t="shared" si="1"/>
        <v>Completo</v>
      </c>
    </row>
    <row r="6" spans="1:10" ht="32.1" customHeight="1">
      <c r="A6" s="7" t="s">
        <v>70</v>
      </c>
      <c r="B6" s="8" t="s">
        <v>25</v>
      </c>
      <c r="C6" s="9" t="s">
        <v>71</v>
      </c>
      <c r="D6" s="8"/>
      <c r="E6" s="9"/>
      <c r="F6" s="10" t="s">
        <v>8</v>
      </c>
      <c r="G6" s="10" t="s">
        <v>68</v>
      </c>
      <c r="H6" s="9" t="str">
        <f t="shared" si="0"/>
        <v>Red Team</v>
      </c>
      <c r="I6" s="15" t="s">
        <v>72</v>
      </c>
      <c r="J6" s="7" t="s">
        <v>73</v>
      </c>
    </row>
    <row r="7" spans="1:10" ht="32.1" customHeight="1">
      <c r="A7" s="7" t="s">
        <v>74</v>
      </c>
      <c r="B7" s="8" t="s">
        <v>31</v>
      </c>
      <c r="C7" s="9" t="str">
        <f>IFERROR(VLOOKUP(B7,Estudiantes!$A$4:$B$23,2,FALSE),"")</f>
        <v>Juan David Gómez Cuellar</v>
      </c>
      <c r="D7" s="8" t="s">
        <v>28</v>
      </c>
      <c r="E7" s="9" t="str">
        <f>IFERROR(VLOOKUP(D7,Estudiantes!$A$4:$B$23,2,FALSE),"")</f>
        <v>José Luis Lancheros Ayora</v>
      </c>
      <c r="F7" s="10" t="s">
        <v>8</v>
      </c>
      <c r="G7" s="10" t="s">
        <v>64</v>
      </c>
      <c r="H7" s="9" t="str">
        <f t="shared" si="0"/>
        <v>Blue Team</v>
      </c>
      <c r="I7" s="15" t="s">
        <v>75</v>
      </c>
      <c r="J7" s="7" t="str">
        <f t="shared" si="1"/>
        <v>Completo</v>
      </c>
    </row>
    <row r="8" spans="1:10" ht="32.1" customHeight="1">
      <c r="A8" s="7" t="s">
        <v>76</v>
      </c>
      <c r="B8" s="8" t="s">
        <v>22</v>
      </c>
      <c r="C8" s="9" t="str">
        <f>IFERROR(VLOOKUP(B8,Estudiantes!$A$4:$B$23,2,FALSE),"")</f>
        <v>Diego Fernando Chavarro Castillo</v>
      </c>
      <c r="D8" s="8" t="s">
        <v>32</v>
      </c>
      <c r="E8" s="9" t="str">
        <f>IFERROR(VLOOKUP(D8,Estudiantes!$A$4:$B$23,2,FALSE),"")</f>
        <v>Juan Pablo Caballero Castellanos</v>
      </c>
      <c r="F8" s="10" t="s">
        <v>8</v>
      </c>
      <c r="G8" s="10" t="s">
        <v>64</v>
      </c>
      <c r="H8" s="9" t="str">
        <f t="shared" si="0"/>
        <v>Blue Team</v>
      </c>
      <c r="I8" s="10"/>
      <c r="J8" s="7" t="str">
        <f t="shared" si="1"/>
        <v>Pendiente</v>
      </c>
    </row>
    <row r="9" spans="1:10" ht="32.1" customHeight="1">
      <c r="A9" s="7" t="s">
        <v>77</v>
      </c>
      <c r="B9" s="8" t="s">
        <v>36</v>
      </c>
      <c r="C9" s="9" t="s">
        <v>78</v>
      </c>
      <c r="D9" s="8" t="s">
        <v>45</v>
      </c>
      <c r="E9" s="9" t="s">
        <v>79</v>
      </c>
      <c r="F9" s="10" t="s">
        <v>14</v>
      </c>
      <c r="G9" s="10" t="s">
        <v>68</v>
      </c>
      <c r="H9" s="9" t="str">
        <f t="shared" si="0"/>
        <v>Red Team</v>
      </c>
      <c r="I9" s="15" t="s">
        <v>80</v>
      </c>
      <c r="J9" s="7" t="str">
        <f t="shared" si="1"/>
        <v>Completo</v>
      </c>
    </row>
    <row r="10" spans="1:10" ht="32.1" customHeight="1">
      <c r="A10" s="7" t="s">
        <v>81</v>
      </c>
      <c r="B10" s="8" t="s">
        <v>27</v>
      </c>
      <c r="C10" s="9" t="str">
        <f>IFERROR(VLOOKUP(B10,Estudiantes!$A$4:$B$23,2,FALSE),"")</f>
        <v>Johan Sebastián Beltrán Gutiérrez</v>
      </c>
      <c r="D10" s="8" t="s">
        <v>5</v>
      </c>
      <c r="E10" s="9" t="str">
        <f>IFERROR(VLOOKUP(D10,Estudiantes!$A$4:$B$23,2,FALSE),"")</f>
        <v>Andrés Camilo Vivas Baquero</v>
      </c>
      <c r="F10" s="10" t="s">
        <v>8</v>
      </c>
      <c r="G10" s="10" t="s">
        <v>68</v>
      </c>
      <c r="H10" s="9" t="str">
        <f t="shared" si="0"/>
        <v>Red Team</v>
      </c>
      <c r="I10" s="15" t="s">
        <v>82</v>
      </c>
      <c r="J10" s="7" t="str">
        <f t="shared" si="1"/>
        <v>Completo</v>
      </c>
    </row>
    <row r="11" spans="1:10" ht="32.1" customHeight="1">
      <c r="A11" s="7" t="s">
        <v>83</v>
      </c>
      <c r="B11" s="4" t="s">
        <v>49</v>
      </c>
      <c r="C11" s="9" t="str">
        <f>IFERROR(VLOOKUP(B11,Estudiantes!$A$4:$B$23,2,FALSE),"")</f>
        <v>Tomás Quiceno Ostos</v>
      </c>
      <c r="D11" s="8" t="s">
        <v>50</v>
      </c>
      <c r="E11" s="9" t="str">
        <f>IFERROR(VLOOKUP(D11,Estudiantes!$A$4:$B$23,2,FALSE),"")</f>
        <v xml:space="preserve">Hernán David Sánchez </v>
      </c>
      <c r="F11" s="10" t="s">
        <v>14</v>
      </c>
      <c r="G11" s="10" t="s">
        <v>64</v>
      </c>
      <c r="H11" s="9" t="str">
        <f t="shared" si="0"/>
        <v>Blue Team</v>
      </c>
      <c r="I11" s="16" t="s">
        <v>84</v>
      </c>
      <c r="J11" s="7" t="str">
        <f t="shared" si="1"/>
        <v>Completo</v>
      </c>
    </row>
    <row r="12" spans="1:10" ht="32.1" customHeight="1">
      <c r="A12" s="7" t="s">
        <v>85</v>
      </c>
      <c r="B12" s="8" t="s">
        <v>39</v>
      </c>
      <c r="C12" s="9" t="str">
        <f>IFERROR(VLOOKUP(B12,Estudiantes!$A$4:$B$23,2,FALSE),"")</f>
        <v>Mabel Fernanda Bernal Amaya</v>
      </c>
      <c r="D12" s="8" t="s">
        <v>42</v>
      </c>
      <c r="E12" s="9" t="str">
        <f>IFERROR(VLOOKUP(D12,Estudiantes!$A$4:$B$23,2,FALSE),"")</f>
        <v>Nicolás David Prieto Ramos</v>
      </c>
      <c r="F12" s="10" t="s">
        <v>14</v>
      </c>
      <c r="G12" s="10" t="s">
        <v>64</v>
      </c>
      <c r="H12" s="9" t="s">
        <v>68</v>
      </c>
      <c r="I12" s="10"/>
      <c r="J12" s="7" t="str">
        <f t="shared" si="1"/>
        <v>Pendiente</v>
      </c>
    </row>
    <row r="13" spans="1:10" ht="32.1" customHeight="1">
      <c r="A13" s="7" t="s">
        <v>86</v>
      </c>
      <c r="B13" s="8"/>
      <c r="C13" s="9"/>
      <c r="D13" s="8"/>
      <c r="E13" s="9" t="str">
        <f>IFERROR(VLOOKUP(D13,Estudiantes!$A$4:$B$23,2,FALSE),"")</f>
        <v/>
      </c>
      <c r="F13" s="10"/>
      <c r="G13" s="10"/>
      <c r="H13" s="9" t="str">
        <f t="shared" si="0"/>
        <v/>
      </c>
      <c r="I13" s="10"/>
      <c r="J13" s="7" t="str">
        <f t="shared" si="1"/>
        <v>Pendiente</v>
      </c>
    </row>
  </sheetData>
  <mergeCells count="1">
    <mergeCell ref="A1:J1"/>
  </mergeCells>
  <conditionalFormatting sqref="B4:B13">
    <cfRule type="expression" dxfId="4" priority="1">
      <formula>AND(B4&lt;&gt;"",COUNTIF($B$4:$B$13,B4)+COUNTIF($D$4:$D$13,B4)&gt;1)</formula>
    </cfRule>
  </conditionalFormatting>
  <conditionalFormatting sqref="D4:D13">
    <cfRule type="expression" dxfId="3" priority="2">
      <formula>AND(D4&lt;&gt;"",COUNTIF($B$4:$B$13,D4)+COUNTIF($D$4:$D$13,D4)&gt;1)</formula>
    </cfRule>
  </conditionalFormatting>
  <conditionalFormatting sqref="J4:J13">
    <cfRule type="containsText" dxfId="2" priority="3" operator="containsText" text="Completo"/>
    <cfRule type="containsText" dxfId="1" priority="4" operator="containsText" text="Pendiente"/>
    <cfRule type="containsText" dxfId="0" priority="5" operator="containsText" text="Error"/>
  </conditionalFormatting>
  <dataValidations count="2">
    <dataValidation type="list" sqref="F4:F13" xr:uid="{00000000-0002-0000-0000-000002000000}">
      <formula1>"CrowdStrike Incident Hub,Ejecución remota segura"</formula1>
    </dataValidation>
    <dataValidation type="list" sqref="G4:G13" xr:uid="{00000000-0002-0000-0000-000003000000}">
      <formula1>"Red Team,Blue Team"</formula1>
    </dataValidation>
  </dataValidations>
  <hyperlinks>
    <hyperlink ref="I4" r:id="rId1" xr:uid="{32C97421-C311-49C5-8C4A-0D2D86FF6E6A}"/>
    <hyperlink ref="I10" r:id="rId2" xr:uid="{FB2B85D7-8CE7-4401-BD6C-0512BA05B25A}"/>
    <hyperlink ref="I9" r:id="rId3" xr:uid="{F1084A65-9CDF-45F9-9EB2-3866C52325CF}"/>
    <hyperlink ref="I11" r:id="rId4" xr:uid="{4DBD8AE5-DDC2-4DC3-B9F4-AC6939C6F03D}"/>
    <hyperlink ref="I6" r:id="rId5" xr:uid="{87141C2B-3707-4383-BD51-BCD8A60DA76C}"/>
    <hyperlink ref="I5" r:id="rId6" xr:uid="{F5B0FAA4-3727-4ED1-9F8D-165E865649BB}"/>
    <hyperlink ref="I7" r:id="rId7" xr:uid="{31F999DD-0AB7-414F-B4DB-705F50778DB7}"/>
  </hyperlinks>
  <pageMargins left="0.7" right="0.7" top="0.75" bottom="0.75" header="0.3" footer="0.3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Estudiantes!$A$4:$A$22</xm:f>
          </x14:formula1>
          <xm:sqref>D4:D13 B12:B13 B4:B10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showGridLines="0" workbookViewId="0">
      <selection sqref="A1:F1"/>
    </sheetView>
  </sheetViews>
  <sheetFormatPr defaultColWidth="9" defaultRowHeight="14.25"/>
  <cols>
    <col min="1" max="1" width="32" customWidth="1"/>
    <col min="2" max="2" width="17" customWidth="1"/>
    <col min="3" max="3" width="4" customWidth="1"/>
    <col min="4" max="6" width="22" customWidth="1"/>
  </cols>
  <sheetData>
    <row r="1" spans="1:6" ht="33.950000000000003" customHeight="1">
      <c r="A1" s="12" t="s">
        <v>87</v>
      </c>
      <c r="B1" s="12"/>
      <c r="C1" s="12"/>
      <c r="D1" s="12"/>
      <c r="E1" s="12"/>
      <c r="F1" s="12"/>
    </row>
    <row r="3" spans="1:6" ht="33" customHeight="1">
      <c r="A3" s="2" t="s">
        <v>88</v>
      </c>
      <c r="B3" s="2" t="s">
        <v>89</v>
      </c>
      <c r="D3" s="14" t="s">
        <v>90</v>
      </c>
      <c r="E3" s="14"/>
      <c r="F3" s="14"/>
    </row>
    <row r="4" spans="1:6" ht="33" customHeight="1">
      <c r="A4" s="1" t="s">
        <v>91</v>
      </c>
      <c r="B4" s="11">
        <f>COUNTIF('Registro de grupos'!$J$4:$J$13,"Completo")</f>
        <v>7</v>
      </c>
      <c r="D4" s="13" t="s">
        <v>92</v>
      </c>
      <c r="E4" s="13"/>
      <c r="F4" s="13"/>
    </row>
    <row r="5" spans="1:6" ht="33" customHeight="1">
      <c r="A5" s="1" t="s">
        <v>93</v>
      </c>
      <c r="B5" s="11">
        <f>COUNTIF('Registro de grupos'!$J$4:$J$13,"Pendiente")</f>
        <v>3</v>
      </c>
      <c r="D5" s="13" t="s">
        <v>94</v>
      </c>
      <c r="E5" s="13"/>
      <c r="F5" s="13"/>
    </row>
    <row r="6" spans="1:6" ht="33" customHeight="1">
      <c r="A6" s="1" t="s">
        <v>8</v>
      </c>
      <c r="B6" s="11">
        <f>COUNTIF('Registro de grupos'!$F$4:$F$13,"CrowdStrike Incident Hub")</f>
        <v>4</v>
      </c>
      <c r="D6" s="13" t="s">
        <v>95</v>
      </c>
      <c r="E6" s="13"/>
      <c r="F6" s="13"/>
    </row>
    <row r="7" spans="1:6" ht="33" customHeight="1">
      <c r="A7" s="1" t="s">
        <v>14</v>
      </c>
      <c r="B7" s="11">
        <f>COUNTIF('Registro de grupos'!$F$4:$F$13,"Ejecución remota segura")</f>
        <v>5</v>
      </c>
      <c r="D7" s="13" t="s">
        <v>96</v>
      </c>
      <c r="E7" s="13"/>
      <c r="F7" s="13"/>
    </row>
    <row r="8" spans="1:6" ht="33" customHeight="1">
      <c r="D8" s="13" t="s">
        <v>97</v>
      </c>
      <c r="E8" s="13"/>
      <c r="F8" s="13"/>
    </row>
  </sheetData>
  <mergeCells count="7">
    <mergeCell ref="D7:F7"/>
    <mergeCell ref="D8:F8"/>
    <mergeCell ref="A1:F1"/>
    <mergeCell ref="D3:F3"/>
    <mergeCell ref="D4:F4"/>
    <mergeCell ref="D5:F5"/>
    <mergeCell ref="D6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FD49A1D6983E4986C133382CEAD025" ma:contentTypeVersion="3" ma:contentTypeDescription="Crear nuevo documento." ma:contentTypeScope="" ma:versionID="d9ccadba7980f85865f1d3fbd5a944f7">
  <xsd:schema xmlns:xsd="http://www.w3.org/2001/XMLSchema" xmlns:xs="http://www.w3.org/2001/XMLSchema" xmlns:p="http://schemas.microsoft.com/office/2006/metadata/properties" xmlns:ns2="f9681d83-07a2-4e49-98f0-27f9c58ec2aa" targetNamespace="http://schemas.microsoft.com/office/2006/metadata/properties" ma:root="true" ma:fieldsID="ddb7c4dee25f03e1ed93388ec7289973" ns2:_="">
    <xsd:import namespace="f9681d83-07a2-4e49-98f0-27f9c58ec2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81d83-07a2-4e49-98f0-27f9c58ec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D0B530-6950-4259-BAFB-BCB489138624}"/>
</file>

<file path=customXml/itemProps2.xml><?xml version="1.0" encoding="utf-8"?>
<ds:datastoreItem xmlns:ds="http://schemas.openxmlformats.org/officeDocument/2006/customXml" ds:itemID="{49CBD946-8705-463A-9F8B-BDB089E9CD4B}"/>
</file>

<file path=customXml/itemProps3.xml><?xml version="1.0" encoding="utf-8"?>
<ds:datastoreItem xmlns:ds="http://schemas.openxmlformats.org/officeDocument/2006/customXml" ds:itemID="{F6BAFE8C-583E-46E1-9C21-FF7DAAA24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2026-09-02T22:36:01Z</dcterms:created>
  <dcterms:modified xsi:type="dcterms:W3CDTF">2026-09-02T22:36:01Z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0x0101009CFD49A1D6983E4986C133382CEAD025</vt:lpwstr>
  </property>
</Properties>
</file>